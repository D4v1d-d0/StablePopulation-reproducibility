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Palacios\Downloads\"/>
    </mc:Choice>
  </mc:AlternateContent>
  <xr:revisionPtr revIDLastSave="0" documentId="13_ncr:1_{2028C88A-CD4E-4EB4-B907-CB9BEE7C6F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mografia_Castor_canadensis" sheetId="1" r:id="rId1"/>
    <sheet name="Ejemplo_minim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" i="1"/>
  <c r="N1" i="1" s="1"/>
  <c r="K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2" i="1"/>
</calcChain>
</file>

<file path=xl/sharedStrings.xml><?xml version="1.0" encoding="utf-8"?>
<sst xmlns="http://schemas.openxmlformats.org/spreadsheetml/2006/main" count="11" uniqueCount="8">
  <si>
    <t>Age (years)</t>
  </si>
  <si>
    <t>N alive at start</t>
  </si>
  <si>
    <t>lx (Survivorship)</t>
  </si>
  <si>
    <t>qx (Mortality Rate)</t>
  </si>
  <si>
    <t>mx (Fertility Rate)</t>
  </si>
  <si>
    <t>Predicción</t>
  </si>
  <si>
    <t>Error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</si>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</sst>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D0867D3B-1351-4251-8748-1A2F20A5AF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C16"/>
    </sheetView>
  </sheetViews>
  <sheetFormatPr baseColWidth="10" defaultColWidth="9.21875" defaultRowHeight="14.4" x14ac:dyDescent="0.3"/>
  <cols>
    <col min="1" max="1" width="12.21875" customWidth="1"/>
    <col min="2" max="3" width="16.5546875" customWidth="1"/>
    <col min="4" max="4" width="15.77734375" customWidth="1"/>
    <col min="5" max="5" width="15.5546875" customWidth="1"/>
    <col min="6" max="6" width="16.77734375" customWidth="1"/>
    <col min="8" max="8" width="16.77734375" customWidth="1"/>
    <col min="9" max="9" width="22.21875" customWidth="1"/>
    <col min="11" max="11" width="9.44140625" bestFit="1" customWidth="1"/>
  </cols>
  <sheetData>
    <row r="1" spans="1:14" x14ac:dyDescent="0.3">
      <c r="A1" s="1" t="s">
        <v>0</v>
      </c>
      <c r="B1" s="1" t="s">
        <v>4</v>
      </c>
      <c r="C1" s="1" t="s">
        <v>7</v>
      </c>
      <c r="D1" s="1" t="s">
        <v>1</v>
      </c>
      <c r="E1" s="1" t="s">
        <v>2</v>
      </c>
      <c r="F1" s="1" t="s">
        <v>3</v>
      </c>
      <c r="H1" s="2" t="s">
        <v>5</v>
      </c>
      <c r="J1" t="s">
        <v>6</v>
      </c>
      <c r="K1">
        <f>SUMSQ(K2:K16)</f>
        <v>2.6909560721741634E-2</v>
      </c>
      <c r="L1">
        <f>SUMSQ(L2:L16)</f>
        <v>2.0275992770825865E-2</v>
      </c>
      <c r="N1">
        <f>L1/15</f>
        <v>1.351732851388391E-3</v>
      </c>
    </row>
    <row r="2" spans="1:14" x14ac:dyDescent="0.3">
      <c r="A2">
        <v>0</v>
      </c>
      <c r="B2">
        <v>0</v>
      </c>
      <c r="C2">
        <v>0.5</v>
      </c>
      <c r="D2">
        <v>3695</v>
      </c>
      <c r="E2">
        <v>1</v>
      </c>
      <c r="F2">
        <v>0.51900000000000002</v>
      </c>
      <c r="H2">
        <v>1</v>
      </c>
      <c r="I2">
        <v>1</v>
      </c>
      <c r="K2">
        <f>H2-E2</f>
        <v>0</v>
      </c>
      <c r="L2">
        <f>I2-E2</f>
        <v>0</v>
      </c>
    </row>
    <row r="3" spans="1:14" x14ac:dyDescent="0.3">
      <c r="A3">
        <v>1</v>
      </c>
      <c r="B3">
        <v>0</v>
      </c>
      <c r="D3">
        <v>1777</v>
      </c>
      <c r="E3">
        <v>0.48099999999999998</v>
      </c>
      <c r="F3">
        <v>4.3999999999999997E-2</v>
      </c>
      <c r="H3" s="3">
        <v>0.47610443182097201</v>
      </c>
      <c r="I3">
        <v>0.50844045786959002</v>
      </c>
      <c r="K3">
        <f>H3-E3</f>
        <v>-4.8955681790279759E-3</v>
      </c>
      <c r="L3">
        <f t="shared" ref="L3:L16" si="0">I3-E3</f>
        <v>2.744045786959004E-2</v>
      </c>
    </row>
    <row r="4" spans="1:14" x14ac:dyDescent="0.3">
      <c r="A4">
        <v>2</v>
      </c>
      <c r="B4">
        <v>0.315</v>
      </c>
      <c r="D4">
        <v>1700</v>
      </c>
      <c r="E4">
        <v>0.46</v>
      </c>
      <c r="F4">
        <v>0.40200000000000002</v>
      </c>
      <c r="H4" s="3">
        <v>0.31207615069115202</v>
      </c>
      <c r="I4">
        <v>0.33326187729199602</v>
      </c>
      <c r="K4">
        <f t="shared" ref="K4:K16" si="1">H4-E4</f>
        <v>-0.147923849308848</v>
      </c>
      <c r="L4">
        <f t="shared" si="0"/>
        <v>-0.126738122708004</v>
      </c>
    </row>
    <row r="5" spans="1:14" x14ac:dyDescent="0.3">
      <c r="A5">
        <v>3</v>
      </c>
      <c r="B5">
        <v>0.4</v>
      </c>
      <c r="D5">
        <v>1016</v>
      </c>
      <c r="E5">
        <v>0.27500000000000002</v>
      </c>
      <c r="F5">
        <v>0.35299999999999998</v>
      </c>
      <c r="H5" s="3">
        <v>0.219663141250278</v>
      </c>
      <c r="I5">
        <v>0.23236102873004899</v>
      </c>
      <c r="K5">
        <f t="shared" si="1"/>
        <v>-5.5336858749722023E-2</v>
      </c>
      <c r="L5">
        <f t="shared" si="0"/>
        <v>-4.2638971269951031E-2</v>
      </c>
    </row>
    <row r="6" spans="1:14" x14ac:dyDescent="0.3">
      <c r="A6">
        <v>4</v>
      </c>
      <c r="B6">
        <v>0.89500000000000002</v>
      </c>
      <c r="D6">
        <v>657</v>
      </c>
      <c r="E6">
        <v>0.17799999999999999</v>
      </c>
      <c r="F6">
        <v>0.438</v>
      </c>
      <c r="H6" s="3">
        <v>0.16084582314583801</v>
      </c>
      <c r="I6">
        <v>0.16778880430422499</v>
      </c>
      <c r="K6">
        <f t="shared" si="1"/>
        <v>-1.7154176854161984E-2</v>
      </c>
      <c r="L6">
        <f t="shared" si="0"/>
        <v>-1.0211195695774999E-2</v>
      </c>
    </row>
    <row r="7" spans="1:14" x14ac:dyDescent="0.3">
      <c r="A7">
        <v>5</v>
      </c>
      <c r="B7">
        <v>1.244</v>
      </c>
      <c r="D7">
        <v>371</v>
      </c>
      <c r="E7">
        <v>0.1</v>
      </c>
      <c r="F7">
        <v>0.26</v>
      </c>
      <c r="H7" s="3">
        <v>0.120931260314844</v>
      </c>
      <c r="I7">
        <v>0.124079768490059</v>
      </c>
      <c r="K7">
        <f t="shared" si="1"/>
        <v>2.0931260314843991E-2</v>
      </c>
      <c r="L7">
        <f t="shared" si="0"/>
        <v>2.4079768490058995E-2</v>
      </c>
    </row>
    <row r="8" spans="1:14" x14ac:dyDescent="0.3">
      <c r="A8">
        <v>6</v>
      </c>
      <c r="B8">
        <v>1.44</v>
      </c>
      <c r="D8">
        <v>273</v>
      </c>
      <c r="E8">
        <v>7.3999999999999996E-2</v>
      </c>
      <c r="F8">
        <v>0.25700000000000001</v>
      </c>
      <c r="H8" s="3">
        <v>9.2705674319140396E-2</v>
      </c>
      <c r="I8">
        <v>9.3396204561356097E-2</v>
      </c>
      <c r="K8">
        <f t="shared" si="1"/>
        <v>1.87056743191404E-2</v>
      </c>
      <c r="L8">
        <f t="shared" si="0"/>
        <v>1.9396204561356101E-2</v>
      </c>
    </row>
    <row r="9" spans="1:14" x14ac:dyDescent="0.3">
      <c r="A9">
        <v>7</v>
      </c>
      <c r="B9">
        <v>1.282</v>
      </c>
      <c r="D9">
        <v>205</v>
      </c>
      <c r="E9">
        <v>5.5E-2</v>
      </c>
      <c r="F9">
        <v>0.182</v>
      </c>
      <c r="H9" s="3">
        <v>7.2152263925278695E-2</v>
      </c>
      <c r="I9">
        <v>7.12862913691302E-2</v>
      </c>
      <c r="K9">
        <f t="shared" si="1"/>
        <v>1.7152263925278695E-2</v>
      </c>
      <c r="L9">
        <f t="shared" si="0"/>
        <v>1.62862913691302E-2</v>
      </c>
    </row>
    <row r="10" spans="1:14" x14ac:dyDescent="0.3">
      <c r="A10">
        <v>8</v>
      </c>
      <c r="B10">
        <v>1.28</v>
      </c>
      <c r="D10">
        <v>165</v>
      </c>
      <c r="E10">
        <v>4.4999999999999998E-2</v>
      </c>
      <c r="F10">
        <v>0.24399999999999999</v>
      </c>
      <c r="H10" s="3">
        <v>5.6849084895731802E-2</v>
      </c>
      <c r="I10">
        <v>5.5033070476520798E-2</v>
      </c>
      <c r="K10">
        <f t="shared" si="1"/>
        <v>1.1849084895731804E-2</v>
      </c>
      <c r="L10">
        <f t="shared" si="0"/>
        <v>1.00330704765208E-2</v>
      </c>
    </row>
    <row r="11" spans="1:14" x14ac:dyDescent="0.3">
      <c r="A11">
        <v>9</v>
      </c>
      <c r="B11">
        <v>1.387</v>
      </c>
      <c r="D11">
        <v>127</v>
      </c>
      <c r="E11">
        <v>3.4000000000000002E-2</v>
      </c>
      <c r="F11">
        <v>8.7999999999999995E-2</v>
      </c>
      <c r="H11" s="3">
        <v>4.5252438666703199E-2</v>
      </c>
      <c r="I11">
        <v>4.2893353679430903E-2</v>
      </c>
      <c r="K11">
        <f t="shared" si="1"/>
        <v>1.1252438666703196E-2</v>
      </c>
      <c r="L11">
        <f t="shared" si="0"/>
        <v>8.8933536794309001E-3</v>
      </c>
    </row>
    <row r="12" spans="1:14" x14ac:dyDescent="0.3">
      <c r="A12">
        <v>10</v>
      </c>
      <c r="B12">
        <v>1.08</v>
      </c>
      <c r="D12">
        <v>113</v>
      </c>
      <c r="E12">
        <v>3.1E-2</v>
      </c>
      <c r="F12">
        <v>0.22600000000000001</v>
      </c>
      <c r="H12" s="3">
        <v>3.6336970582884598E-2</v>
      </c>
      <c r="I12">
        <v>3.3706440288509297E-2</v>
      </c>
      <c r="K12">
        <f t="shared" si="1"/>
        <v>5.3369705828845981E-3</v>
      </c>
      <c r="L12">
        <f t="shared" si="0"/>
        <v>2.7064402885092972E-3</v>
      </c>
    </row>
    <row r="13" spans="1:14" x14ac:dyDescent="0.3">
      <c r="A13">
        <v>11</v>
      </c>
      <c r="B13">
        <v>1.8</v>
      </c>
      <c r="D13">
        <v>87</v>
      </c>
      <c r="E13">
        <v>2.4E-2</v>
      </c>
      <c r="F13">
        <v>0.41699999999999998</v>
      </c>
      <c r="H13" s="3">
        <v>2.9399460033516601E-2</v>
      </c>
      <c r="I13">
        <v>2.6676897412389301E-2</v>
      </c>
      <c r="K13">
        <f t="shared" si="1"/>
        <v>5.399460033516601E-3</v>
      </c>
      <c r="L13">
        <f t="shared" si="0"/>
        <v>2.6768974123893008E-3</v>
      </c>
    </row>
    <row r="14" spans="1:14" x14ac:dyDescent="0.3">
      <c r="A14">
        <v>12</v>
      </c>
      <c r="B14">
        <v>1.08</v>
      </c>
      <c r="D14">
        <v>50</v>
      </c>
      <c r="E14">
        <v>1.4E-2</v>
      </c>
      <c r="F14">
        <v>0.14299999999999999</v>
      </c>
      <c r="H14" s="3">
        <v>2.3945068475484901E-2</v>
      </c>
      <c r="I14">
        <v>2.1246866812715599E-2</v>
      </c>
      <c r="K14">
        <f t="shared" si="1"/>
        <v>9.9450684754849011E-3</v>
      </c>
      <c r="L14">
        <f t="shared" si="0"/>
        <v>7.2468668127155991E-3</v>
      </c>
    </row>
    <row r="15" spans="1:14" x14ac:dyDescent="0.3">
      <c r="A15">
        <v>13</v>
      </c>
      <c r="B15">
        <v>1.44</v>
      </c>
      <c r="D15">
        <v>46</v>
      </c>
      <c r="E15">
        <v>1.2E-2</v>
      </c>
      <c r="F15">
        <v>0.41699999999999998</v>
      </c>
      <c r="H15" s="3">
        <v>1.96181541727104E-2</v>
      </c>
      <c r="I15">
        <v>1.7017590494833E-2</v>
      </c>
      <c r="K15">
        <f t="shared" si="1"/>
        <v>7.6181541727104E-3</v>
      </c>
      <c r="L15">
        <f t="shared" si="0"/>
        <v>5.0175904948329998E-3</v>
      </c>
    </row>
    <row r="16" spans="1:14" x14ac:dyDescent="0.3">
      <c r="A16">
        <v>14</v>
      </c>
      <c r="B16">
        <v>0.72</v>
      </c>
      <c r="D16">
        <v>29</v>
      </c>
      <c r="E16">
        <v>7.0000000000000001E-3</v>
      </c>
      <c r="F16">
        <v>0.14299999999999999</v>
      </c>
      <c r="H16" s="3">
        <v>1.6158541338734799E-2</v>
      </c>
      <c r="I16">
        <v>1.36994390500114E-2</v>
      </c>
      <c r="K16">
        <f t="shared" si="1"/>
        <v>9.1585413387347998E-3</v>
      </c>
      <c r="L16">
        <f t="shared" si="0"/>
        <v>6.6994390500114001E-3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7010-651C-4812-8353-E59E9F4E6109}">
  <dimension ref="A1:C16"/>
  <sheetViews>
    <sheetView tabSelected="1" workbookViewId="0">
      <selection activeCell="I20" sqref="I20"/>
    </sheetView>
  </sheetViews>
  <sheetFormatPr baseColWidth="10" defaultRowHeight="14.4" x14ac:dyDescent="0.3"/>
  <sheetData>
    <row r="1" spans="1:3" x14ac:dyDescent="0.3">
      <c r="A1" t="s">
        <v>0</v>
      </c>
      <c r="B1" t="s">
        <v>4</v>
      </c>
      <c r="C1" t="s">
        <v>7</v>
      </c>
    </row>
    <row r="2" spans="1:3" x14ac:dyDescent="0.3">
      <c r="A2">
        <v>0</v>
      </c>
      <c r="B2">
        <v>0</v>
      </c>
      <c r="C2">
        <v>0.7</v>
      </c>
    </row>
    <row r="3" spans="1:3" x14ac:dyDescent="0.3">
      <c r="A3">
        <v>1</v>
      </c>
      <c r="B3">
        <v>0</v>
      </c>
    </row>
    <row r="4" spans="1:3" x14ac:dyDescent="0.3">
      <c r="A4">
        <v>2</v>
      </c>
      <c r="B4">
        <v>0.315</v>
      </c>
    </row>
    <row r="5" spans="1:3" x14ac:dyDescent="0.3">
      <c r="A5">
        <v>3</v>
      </c>
      <c r="B5">
        <v>0.4</v>
      </c>
    </row>
    <row r="6" spans="1:3" x14ac:dyDescent="0.3">
      <c r="A6">
        <v>4</v>
      </c>
      <c r="B6">
        <v>0.89500000000000002</v>
      </c>
    </row>
    <row r="7" spans="1:3" x14ac:dyDescent="0.3">
      <c r="A7">
        <v>5</v>
      </c>
      <c r="B7">
        <v>1.244</v>
      </c>
    </row>
    <row r="8" spans="1:3" x14ac:dyDescent="0.3">
      <c r="A8">
        <v>6</v>
      </c>
      <c r="B8">
        <v>1.44</v>
      </c>
    </row>
    <row r="9" spans="1:3" x14ac:dyDescent="0.3">
      <c r="A9">
        <v>7</v>
      </c>
      <c r="B9">
        <v>1.282</v>
      </c>
    </row>
    <row r="10" spans="1:3" x14ac:dyDescent="0.3">
      <c r="A10">
        <v>8</v>
      </c>
      <c r="B10">
        <v>1.28</v>
      </c>
    </row>
    <row r="11" spans="1:3" x14ac:dyDescent="0.3">
      <c r="A11">
        <v>9</v>
      </c>
      <c r="B11">
        <v>1.387</v>
      </c>
    </row>
    <row r="12" spans="1:3" x14ac:dyDescent="0.3">
      <c r="A12">
        <v>10</v>
      </c>
      <c r="B12">
        <v>1.08</v>
      </c>
    </row>
    <row r="13" spans="1:3" x14ac:dyDescent="0.3">
      <c r="A13">
        <v>11</v>
      </c>
      <c r="B13">
        <v>1.8</v>
      </c>
    </row>
    <row r="14" spans="1:3" x14ac:dyDescent="0.3">
      <c r="A14">
        <v>12</v>
      </c>
      <c r="B14">
        <v>1.08</v>
      </c>
    </row>
    <row r="15" spans="1:3" x14ac:dyDescent="0.3">
      <c r="A15">
        <v>13</v>
      </c>
      <c r="B15">
        <v>1.44</v>
      </c>
    </row>
    <row r="16" spans="1:3" x14ac:dyDescent="0.3">
      <c r="A16">
        <v>14</v>
      </c>
      <c r="B16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Demografia_Castor_canadensis</vt:lpstr>
      <vt:lpstr>Ejemplo_minimo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PALACIOS MORALES</cp:lastModifiedBy>
  <dcterms:created xsi:type="dcterms:W3CDTF">2025-03-06T20:20:35Z</dcterms:created>
  <dcterms:modified xsi:type="dcterms:W3CDTF">2026-06-29T14:44:53Z</dcterms:modified>
</cp:coreProperties>
</file>